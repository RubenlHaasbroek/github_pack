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enlhaasbroek/Desktop/kaiden/MECH ENG 4th/SKRIPSIE/FINAL_DOCUMENTS/"/>
    </mc:Choice>
  </mc:AlternateContent>
  <xr:revisionPtr revIDLastSave="0" documentId="13_ncr:1_{005517F3-CF0B-A044-9D4B-FA69D55AB79E}" xr6:coauthVersionLast="47" xr6:coauthVersionMax="47" xr10:uidLastSave="{00000000-0000-0000-0000-000000000000}"/>
  <bookViews>
    <workbookView xWindow="0" yWindow="0" windowWidth="28800" windowHeight="18000" firstSheet="9" activeTab="16" xr2:uid="{32F05B2F-12A3-6744-8F2D-5B24446D3FB7}"/>
  </bookViews>
  <sheets>
    <sheet name="Index" sheetId="1" r:id="rId1"/>
    <sheet name="E01_Baseline_Home1" sheetId="2" r:id="rId2"/>
    <sheet name="E02_Baseline_Home2" sheetId="3" r:id="rId3"/>
    <sheet name="E03_Baseline_Home3" sheetId="4" r:id="rId4"/>
    <sheet name="E04_Warm_Mixed" sheetId="5" r:id="rId5"/>
    <sheet name="E05_Startup_Original" sheetId="6" r:id="rId6"/>
    <sheet name="E06_Startup_Final" sheetId="7" r:id="rId7"/>
    <sheet name="E07_Ki_Tuning" sheetId="8" r:id="rId8"/>
    <sheet name="E08_Kp_Tuning" sheetId="9" r:id="rId9"/>
    <sheet name="E09_TPO_Recheck" sheetId="10" r:id="rId10"/>
    <sheet name="E10_Voice_Indoor" sheetId="11" r:id="rId11"/>
    <sheet name="E11_Wake_WaterOff" sheetId="12" r:id="rId12"/>
    <sheet name="E12_Wake_WaterOn" sheetId="13" r:id="rId13"/>
    <sheet name="E13_Vosk_WaterOff" sheetId="14" r:id="rId14"/>
    <sheet name="E14_Vosk_Off_WaterOn" sheetId="15" r:id="rId15"/>
    <sheet name="E15_Vosk_Stop_WaterOn" sheetId="16" r:id="rId16"/>
    <sheet name="E16_Direct_Flow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5" l="1"/>
  <c r="E9" i="5"/>
  <c r="E8" i="5"/>
  <c r="E7" i="5"/>
  <c r="E6" i="5"/>
  <c r="E5" i="5"/>
  <c r="E4" i="5"/>
  <c r="E3" i="5"/>
  <c r="E2" i="5"/>
  <c r="D3" i="13"/>
  <c r="D4" i="13"/>
  <c r="D2" i="13"/>
  <c r="E3" i="13"/>
  <c r="E4" i="13"/>
  <c r="E2" i="13"/>
</calcChain>
</file>

<file path=xl/sharedStrings.xml><?xml version="1.0" encoding="utf-8"?>
<sst xmlns="http://schemas.openxmlformats.org/spreadsheetml/2006/main" count="179" uniqueCount="92">
  <si>
    <t>Worksheet</t>
  </si>
  <si>
    <t>Evidence</t>
  </si>
  <si>
    <t>E01_Baseline_Home1</t>
  </si>
  <si>
    <t>Conventional shower baseline measurements - Home Shower 1</t>
  </si>
  <si>
    <t>E02_Baseline_Home2</t>
  </si>
  <si>
    <t>Conventional shower baseline measurements - Home Shower 2</t>
  </si>
  <si>
    <t>E03_Baseline_Home3</t>
  </si>
  <si>
    <t>Conventional shower baseline measurements - Home Shower 3</t>
  </si>
  <si>
    <t>E04_Warm_Mixed</t>
  </si>
  <si>
    <t>Smart-system trials on 18 and 19  August 2026 using the original tuning, (K_P=0.10,K_i=0.03).</t>
  </si>
  <si>
    <t>E05_Startup_Original</t>
  </si>
  <si>
    <t>20 and 21 August 2026 session, original tuning, (K_P=0.10,K_i=0.03).</t>
  </si>
  <si>
    <t>E06_Startup_Final</t>
  </si>
  <si>
    <t>E07_Ki_Tuning</t>
  </si>
  <si>
    <t>Integral-gain matched-pair results at a 37 °C setpoint.</t>
  </si>
  <si>
    <t>E08_Kp_Tuning</t>
  </si>
  <si>
    <t>Proportional-gain matched-pair results at a 37 °C setpoint, with K_i=0.015.</t>
  </si>
  <si>
    <t>E09_TPO_Recheck</t>
  </si>
  <si>
    <t>TPO recheck under final gains</t>
  </si>
  <si>
    <t>E10_Voice_Indoor</t>
  </si>
  <si>
    <t>Earlier controlled voice-command results under normal indoor conditions.</t>
  </si>
  <si>
    <t>E11_Wake_WaterOff</t>
  </si>
  <si>
    <t>OpenWakeWord threshold test with water off.</t>
  </si>
  <si>
    <t>E12_Wake_WaterOn</t>
  </si>
  <si>
    <t>OpenWakeWord threshold test with water running.</t>
  </si>
  <si>
    <t>E13_Vosk_WaterOff</t>
  </si>
  <si>
    <t>Vosk command-recognition results with water off at a 0.65 wake-word threshold.</t>
  </si>
  <si>
    <t>E14_Vosk_Off_WaterOn</t>
  </si>
  <si>
    <t>Vosk command-recognition results with water running using “off”.</t>
  </si>
  <si>
    <t>E15_Vosk_Stop_WaterOn</t>
  </si>
  <si>
    <t>Vosk command-recognition results with water running using “stop”.</t>
  </si>
  <si>
    <t>E16_Direct_Flow</t>
  </si>
  <si>
    <t>Direct 60 s flow-path measurements.</t>
  </si>
  <si>
    <t>9 September 2026 session, final tuning, (K_p=0.15,K_i=0.015,TPO=6s).</t>
  </si>
  <si>
    <t>Setpoint (°C)</t>
  </si>
  <si>
    <t>Trial</t>
  </si>
  <si>
    <t>Time to target (s)</t>
  </si>
  <si>
    <t>Volume to drain (L)</t>
  </si>
  <si>
    <t>Flow rate (L/min)</t>
  </si>
  <si>
    <t>Time to READY (s)</t>
  </si>
  <si>
    <t>Diverted volume (L)</t>
  </si>
  <si>
    <t>Note</t>
  </si>
  <si>
    <t>Short-duration outlier</t>
  </si>
  <si>
    <t>Earliest high-volume trial</t>
  </si>
  <si>
    <t>-</t>
  </si>
  <si>
    <t>Starting-condition note</t>
  </si>
  <si>
    <t>Verified cold start</t>
  </si>
  <si>
    <t>Serial trial</t>
  </si>
  <si>
    <t>Pair</t>
  </si>
  <si>
    <t>K_i</t>
  </si>
  <si>
    <t>Overshoot (°C)</t>
  </si>
  <si>
    <t>Undershoot (°C)</t>
  </si>
  <si>
    <t>Mean error (°C)</t>
  </si>
  <si>
    <t>Valve switches</t>
  </si>
  <si>
    <t>K_p</t>
  </si>
  <si>
    <t>TPO period (s)</t>
  </si>
  <si>
    <t>Test duration (s)</t>
  </si>
  <si>
    <t>Switches</t>
  </si>
  <si>
    <t>Command</t>
  </si>
  <si>
    <t>Attempts</t>
  </si>
  <si>
    <t>Correct</t>
  </si>
  <si>
    <t>Accuracy (%)</t>
  </si>
  <si>
    <t>Start</t>
  </si>
  <si>
    <t>Shower on</t>
  </si>
  <si>
    <t>Off</t>
  </si>
  <si>
    <t>Set temperature</t>
  </si>
  <si>
    <t>Overall</t>
  </si>
  <si>
    <t>Threshold</t>
  </si>
  <si>
    <t>Detected</t>
  </si>
  <si>
    <t>False rejections</t>
  </si>
  <si>
    <t>Detection rate (%)</t>
  </si>
  <si>
    <t>Run 1</t>
  </si>
  <si>
    <t>Run 2</t>
  </si>
  <si>
    <t>Combined</t>
  </si>
  <si>
    <t>10/10 (100.0%)</t>
  </si>
  <si>
    <t>20/20 (100.0%)</t>
  </si>
  <si>
    <t>8/10 (80.0%)</t>
  </si>
  <si>
    <t>18/20 (90.0%)</t>
  </si>
  <si>
    <t>7/10 (70.0%)</t>
  </si>
  <si>
    <t>17/20 (85.0%)</t>
  </si>
  <si>
    <t>38/40 (95.0%)</t>
  </si>
  <si>
    <t>37/40 (92.5%)</t>
  </si>
  <si>
    <t>75/80 (93.75%)</t>
  </si>
  <si>
    <t>Stop, parsed as off-type command</t>
  </si>
  <si>
    <t>Flow path</t>
  </si>
  <si>
    <t>Trial 1 (L/min)</t>
  </si>
  <si>
    <t>Trial 2 (L/min)</t>
  </si>
  <si>
    <t>Trial 3 (L/min)</t>
  </si>
  <si>
    <t>Mean (L/min)</t>
  </si>
  <si>
    <t>Hot only</t>
  </si>
  <si>
    <t>Cold only</t>
  </si>
  <si>
    <t>Mixed shower 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</si>
</sst>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3" fillId="4" borderId="1" xfId="0" applyFont="1" applyFill="1" applyBorder="1" applyAlignment="1">
      <alignment wrapText="1"/>
    </xf>
    <xf numFmtId="0" fontId="4" fillId="5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2" fontId="3" fillId="4" borderId="1" xfId="0" applyNumberFormat="1" applyFont="1" applyFill="1" applyBorder="1" applyAlignment="1">
      <alignment wrapText="1"/>
    </xf>
    <xf numFmtId="0" fontId="1" fillId="10" borderId="0" xfId="0" applyFont="1" applyFill="1" applyAlignment="1">
      <alignment wrapText="1"/>
    </xf>
    <xf numFmtId="0" fontId="4" fillId="11" borderId="0" xfId="0" applyFont="1" applyFill="1" applyAlignment="1">
      <alignment wrapText="1"/>
    </xf>
    <xf numFmtId="0" fontId="4" fillId="12" borderId="0" xfId="0" applyFont="1" applyFill="1" applyAlignment="1">
      <alignment wrapText="1"/>
    </xf>
    <xf numFmtId="0" fontId="1" fillId="13" borderId="0" xfId="0" applyFont="1" applyFill="1" applyAlignment="1">
      <alignment wrapText="1"/>
    </xf>
    <xf numFmtId="0" fontId="1" fillId="14" borderId="0" xfId="0" applyFont="1" applyFill="1" applyAlignment="1">
      <alignment wrapText="1"/>
    </xf>
    <xf numFmtId="0" fontId="1" fillId="15" borderId="0" xfId="0" applyFont="1" applyFill="1" applyAlignment="1">
      <alignment wrapText="1"/>
    </xf>
    <xf numFmtId="0" fontId="1" fillId="16" borderId="0" xfId="0" applyFont="1" applyFill="1" applyAlignment="1">
      <alignment wrapText="1"/>
    </xf>
    <xf numFmtId="0" fontId="1" fillId="17" borderId="0" xfId="0" applyFont="1" applyFill="1" applyAlignment="1">
      <alignment wrapText="1"/>
    </xf>
    <xf numFmtId="0" fontId="3" fillId="18" borderId="1" xfId="0" applyFont="1" applyFill="1" applyBorder="1" applyAlignment="1">
      <alignment wrapText="1"/>
    </xf>
    <xf numFmtId="0" fontId="3" fillId="19" borderId="1" xfId="0" applyFont="1" applyFill="1" applyBorder="1" applyAlignment="1">
      <alignment wrapText="1"/>
    </xf>
    <xf numFmtId="0" fontId="1" fillId="20" borderId="0" xfId="0" applyFont="1" applyFill="1" applyAlignment="1">
      <alignment wrapText="1"/>
    </xf>
    <xf numFmtId="0" fontId="1" fillId="21" borderId="0" xfId="0" applyFont="1" applyFill="1" applyAlignment="1">
      <alignment wrapText="1"/>
    </xf>
    <xf numFmtId="0" fontId="1" fillId="22" borderId="1" xfId="0" applyFont="1" applyFill="1" applyBorder="1" applyAlignment="1">
      <alignment wrapText="1"/>
    </xf>
  </cellXfs>
  <cellStyles count="1">
    <cellStyle name="Normal" xfId="0" builtinId="0"/>
  </cellStyles>
  <dxfs count="111">
    <dxf>
      <fill>
        <patternFill patternType="solid">
          <fgColor indexed="64"/>
          <bgColor theme="6"/>
        </patternFill>
      </fill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1" tint="0.14999847407452621"/>
        </patternFill>
      </fill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-0.499984740745262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2" tint="-0.499984740745262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9" tint="-0.249977111117893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7" tint="-0.249977111117893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0.749992370372631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3" tint="0.249977111117893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5" tint="-0.249977111117893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74C7B2-BB68-3C46-B98B-985DB02CCE11}" name="Data_E01_Baseline_Home1" displayName="Data_E01_Baseline_Home1" ref="A1:E10" totalsRowShown="0" headerRowDxfId="0" dataDxfId="6">
  <tableColumns count="5">
    <tableColumn id="1" xr3:uid="{21FD7D0C-7808-9D4B-B900-FDC596B04EB7}" name="Setpoint (°C)" dataDxfId="5"/>
    <tableColumn id="2" xr3:uid="{724A1102-FA3E-6B43-9D43-69E32CB15AEE}" name="Trial" dataDxfId="4"/>
    <tableColumn id="3" xr3:uid="{1D0B93F3-DB31-1643-90B7-CF15F7CD08D5}" name="Time to target (s)" dataDxfId="3"/>
    <tableColumn id="4" xr3:uid="{4F96455E-3986-6D42-B7F8-509DD8EC3D34}" name="Volume to drain (L)" dataDxfId="2"/>
    <tableColumn id="5" xr3:uid="{B84EE4A9-F9BB-C240-B5E2-5EA9F1FCC5C9}" name="Flow rate (L/min)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94FBEE-F59B-C54B-BC32-67DFF53AF893}" name="Data_E02_Baseline_Home2" displayName="Data_E02_Baseline_Home2" ref="A1:E10" totalsRowShown="0" headerRowDxfId="7" dataDxfId="13">
  <tableColumns count="5">
    <tableColumn id="1" xr3:uid="{4B002DC3-C8E1-EF45-9411-FD8F3A4A4C65}" name="Setpoint (°C)" dataDxfId="12"/>
    <tableColumn id="2" xr3:uid="{31A8266D-D446-5347-BF60-13211BD77EB0}" name="Trial" dataDxfId="11"/>
    <tableColumn id="3" xr3:uid="{E8D36D1B-84FC-0D4D-A81F-69022E27E593}" name="Time to target (s)" dataDxfId="10"/>
    <tableColumn id="4" xr3:uid="{834824A6-85F5-3A4B-8A6B-C6DAC366164C}" name="Volume to drain (L)" dataDxfId="9"/>
    <tableColumn id="5" xr3:uid="{704CAE7D-D71C-3944-A55F-D47041748009}" name="Flow rate (L/min)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9A2AFF-D795-9048-AD69-8C51C014FF0E}" name="Data_E03_Baseline_Home3" displayName="Data_E03_Baseline_Home3" ref="A1:E10" totalsRowShown="0" headerRowDxfId="14" dataDxfId="20">
  <tableColumns count="5">
    <tableColumn id="1" xr3:uid="{DD484A74-518A-2E47-8733-9C4954AFF9A6}" name="Setpoint (°C)" dataDxfId="19"/>
    <tableColumn id="2" xr3:uid="{09D214A6-C2C7-AA40-83A5-62A959846F5F}" name="Trial" dataDxfId="18"/>
    <tableColumn id="3" xr3:uid="{AC7B8670-7F96-FA41-A9DC-8924AA9AC924}" name="Time to target (s)" dataDxfId="17"/>
    <tableColumn id="4" xr3:uid="{8522C654-39B1-1443-99CB-FC58CF3B98C7}" name="Volume to drain (L)" dataDxfId="16"/>
    <tableColumn id="5" xr3:uid="{D3867651-44D9-764C-B842-C4F05B622D28}" name="Flow rate (L/min)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E95024-A333-974A-B363-222873DD7EBB}" name="Data_E04_Warm_Mixed" displayName="Data_E04_Warm_Mixed" ref="A1:F10" totalsRowShown="0" headerRowDxfId="24" dataDxfId="28">
  <tableColumns count="6">
    <tableColumn id="1" xr3:uid="{1ED8FD9D-4011-AF42-BAEF-82B33D573E2B}" name="Trial" dataDxfId="27"/>
    <tableColumn id="2" xr3:uid="{1414EFED-B201-FF40-990D-CFA5B8D1593A}" name="Setpoint (°C)" dataDxfId="26"/>
    <tableColumn id="3" xr3:uid="{5968884F-EEDE-6D42-AC0A-9AE4B8E0808A}" name="Time to READY (s)" dataDxfId="25"/>
    <tableColumn id="4" xr3:uid="{8C2A652F-DCDC-EA48-AB00-A3B9E2418BE9}" name="Diverted volume (L)" dataDxfId="23"/>
    <tableColumn id="5" xr3:uid="{82A603BB-3AE0-824E-BFE0-17D9013910A5}" name="Flow rate (L/min)" dataDxfId="21">
      <calculatedColumnFormula>(Data_E04_Warm_Mixed[[#This Row],[Diverted volume (L)]]/Data_E04_Warm_Mixed[[#This Row],[Time to READY (s)]])*60</calculatedColumnFormula>
    </tableColumn>
    <tableColumn id="6" xr3:uid="{E1F258EF-6C1A-9948-8B78-E931C8755351}" name="Note" dataDxf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747A57-8954-9341-B9E3-18651C9CFBB8}" name="Data_E05_Startup_Original" displayName="Data_E05_Startup_Original" ref="A1:E10" totalsRowShown="0" headerRowDxfId="29" dataDxfId="35">
  <tableColumns count="5">
    <tableColumn id="1" xr3:uid="{0E8ED1A9-BEF3-884E-83E5-BA987F693C0C}" name="Trial" dataDxfId="34"/>
    <tableColumn id="2" xr3:uid="{0024D4C5-5FAE-2B4A-9341-ACBC8C3E50EB}" name="Setpoint (°C)" dataDxfId="33"/>
    <tableColumn id="3" xr3:uid="{9ADB40CB-27B8-EF45-BA63-B1750FFD0200}" name="Time to READY (s)" dataDxfId="32"/>
    <tableColumn id="4" xr3:uid="{208E896B-F3BA-EF40-BCA4-D4BD464D3CA9}" name="Diverted volume (L)" dataDxfId="31"/>
    <tableColumn id="5" xr3:uid="{57DF03D3-C10F-D846-9672-1FFA6ECD83E8}" name="Starting-condition note" dataDxfId="3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1C6515-AB42-3E4E-B122-AE03754AA398}" name="Data_E06_Startup_Final" displayName="Data_E06_Startup_Final" ref="A1:E10" totalsRowShown="0" headerRowDxfId="36" dataDxfId="42">
  <tableColumns count="5">
    <tableColumn id="1" xr3:uid="{33CF73F5-EECE-4946-845D-38AB07B1F8D0}" name="Trial" dataDxfId="41"/>
    <tableColumn id="2" xr3:uid="{BADD8E9E-585D-2B41-9135-15EA0967EA44}" name="Setpoint (°C)" dataDxfId="40"/>
    <tableColumn id="3" xr3:uid="{29CFC039-6CF2-3242-98BA-E49DDA51275C}" name="Time to READY (s)" dataDxfId="39"/>
    <tableColumn id="4" xr3:uid="{00CFB537-35B1-EB4E-A133-CD0DEEB9F1C4}" name="Diverted volume (L)" dataDxfId="38"/>
    <tableColumn id="5" xr3:uid="{DE9B4E60-064F-2A48-9161-FC79CCE6CC98}" name="Starting-condition note" dataDxfId="3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C88168-5621-BA42-B3C1-438885D1FB91}" name="Data_E07_Ki_Tuning" displayName="Data_E07_Ki_Tuning" ref="A1:F7" totalsRowShown="0" headerRowDxfId="43" dataDxfId="50">
  <tableColumns count="6">
    <tableColumn id="1" xr3:uid="{F2D133A1-15F1-4045-B939-B42714C3776B}" name="Pair" dataDxfId="49"/>
    <tableColumn id="2" xr3:uid="{6EA7F0C5-8388-BE4F-A5D1-AF291C9796E4}" name="K_i" dataDxfId="48"/>
    <tableColumn id="3" xr3:uid="{C05679C6-E0B7-A947-8047-EA690494428B}" name="Overshoot (°C)" dataDxfId="47"/>
    <tableColumn id="4" xr3:uid="{25FFC79A-1211-E746-8DA2-50D01A00B979}" name="Undershoot (°C)" dataDxfId="46"/>
    <tableColumn id="5" xr3:uid="{30320F10-68EB-A84A-AE3B-D0AE0B16A495}" name="Mean error (°C)" dataDxfId="45"/>
    <tableColumn id="6" xr3:uid="{29933744-8EEB-C148-8AEC-A4D204F33023}" name="Valve switches" dataDxfId="4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F6FB84-D507-E045-AAB3-DD1A5C6CE27A}" name="Data_E08_Kp_Tuning" displayName="Data_E08_Kp_Tuning" ref="A1:F7" totalsRowShown="0" dataDxfId="57">
  <tableColumns count="6">
    <tableColumn id="1" xr3:uid="{D4150457-A615-B44A-9BAC-BD033216E514}" name="Pair" dataDxfId="56"/>
    <tableColumn id="2" xr3:uid="{AE98079B-D104-0D45-80F8-366970CD5864}" name="K_p" dataDxfId="55"/>
    <tableColumn id="3" xr3:uid="{00930873-251E-C747-91A5-22DFFBAD7B4B}" name="Overshoot (°C)" dataDxfId="54"/>
    <tableColumn id="4" xr3:uid="{51C56412-9AB4-8B4D-86C3-E68D83A1D3F3}" name="Undershoot (°C)" dataDxfId="53"/>
    <tableColumn id="5" xr3:uid="{9074C4DB-D61E-5341-825E-89B9DEDC7424}" name="Mean error (°C)" dataDxfId="52"/>
    <tableColumn id="6" xr3:uid="{D2E9D8AE-053B-2F45-813C-B35AA675E1E6}" name="Valve switches" dataDxfId="5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819CF22-ABB4-9945-9016-7CCE77C210C8}" name="Data_E09_TPO_Recheck" displayName="Data_E09_TPO_Recheck" ref="A1:F3" totalsRowShown="0" headerRowDxfId="58" dataDxfId="65">
  <tableColumns count="6">
    <tableColumn id="1" xr3:uid="{4709FBC9-289B-744B-8200-1EE6E7E7787A}" name="TPO period (s)" dataDxfId="64"/>
    <tableColumn id="2" xr3:uid="{5A8EB956-6E19-054E-8886-4A850D346B99}" name="Test duration (s)" dataDxfId="63"/>
    <tableColumn id="3" xr3:uid="{C64A6031-53BD-D845-BBB4-9D3BAF66ED6F}" name="Overshoot (°C)" dataDxfId="62"/>
    <tableColumn id="4" xr3:uid="{2506315A-8EB8-3C49-9AC5-20A55A49981F}" name="Undershoot (°C)" dataDxfId="61"/>
    <tableColumn id="5" xr3:uid="{119E25E1-1C37-F54F-AFF3-941CD1794C69}" name="Mean error (°C)" dataDxfId="60"/>
    <tableColumn id="6" xr3:uid="{6DE22440-1F5F-B041-AEAC-CBE190AC5A6D}" name="Switches" dataDxfId="5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8EE698-1710-F644-B41F-594504C49005}" name="Data_E10_Voice_Indoor" displayName="Data_E10_Voice_Indoor" ref="A1:D6" totalsRowShown="0" headerRowDxfId="66" dataDxfId="71">
  <tableColumns count="4">
    <tableColumn id="1" xr3:uid="{50500D26-21CD-5F45-9906-9ACC2F3056A4}" name="Command" dataDxfId="70"/>
    <tableColumn id="2" xr3:uid="{579FA2F7-F25D-2649-9BA9-51BFDD0C032E}" name="Attempts" dataDxfId="69"/>
    <tableColumn id="3" xr3:uid="{70365409-B7F8-2E43-9C27-9C2571D9EFE5}" name="Correct" dataDxfId="68"/>
    <tableColumn id="4" xr3:uid="{AFC30069-FF32-EE45-935F-80B4DEF25F6E}" name="Accuracy (%)" dataDxfId="6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07C9EA3-B0C7-4A4A-8FB3-9AB8F954DE95}" name="Data_E11_Wake_WaterOff" displayName="Data_E11_Wake_WaterOff" ref="A1:E4" totalsRowShown="0" headerRowDxfId="72" dataDxfId="78">
  <tableColumns count="5">
    <tableColumn id="1" xr3:uid="{88DDD57B-0D77-104E-A054-4963FB01D187}" name="Threshold" dataDxfId="77"/>
    <tableColumn id="2" xr3:uid="{DFB46BA9-99BC-E447-910A-9ECB2A6C9D1B}" name="Attempts" dataDxfId="76"/>
    <tableColumn id="3" xr3:uid="{866780F2-5AAD-A643-9D41-CDD5AC883567}" name="Detected" dataDxfId="75"/>
    <tableColumn id="4" xr3:uid="{12EDAD3A-62B0-4040-89EC-CF263EE8F981}" name="False rejections" dataDxfId="74"/>
    <tableColumn id="5" xr3:uid="{BC5DF483-E374-8B43-B10A-F1DAA60A2623}" name="Detection rate (%)" dataDxfId="7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EF0661F-D29A-B04D-B0C5-78DC183D6268}" name="Data_E12_Wake_WaterOn" displayName="Data_E12_Wake_WaterOn" ref="A1:E4" totalsRowShown="0" headerRowDxfId="79" dataDxfId="80">
  <tableColumns count="5">
    <tableColumn id="1" xr3:uid="{160BC339-2ABB-6F41-AA38-C6E906DCE15C}" name="Threshold" dataDxfId="85"/>
    <tableColumn id="2" xr3:uid="{DBB772FF-57B5-D74C-9BAA-F199DB16C79B}" name="Attempts" dataDxfId="84"/>
    <tableColumn id="3" xr3:uid="{AD67944A-5D39-654F-96F8-D537703DD3B5}" name="Detected" dataDxfId="83"/>
    <tableColumn id="4" xr3:uid="{604A8EDF-8FDF-F84C-846C-B7F1CA670B8D}" name="False rejections" dataDxfId="82">
      <calculatedColumnFormula>Data_E12_Wake_WaterOn[[#This Row],[Attempts]]-Data_E12_Wake_WaterOn[[#This Row],[Detected]]</calculatedColumnFormula>
    </tableColumn>
    <tableColumn id="5" xr3:uid="{5CD92062-FC74-1641-B119-57D1200FEFAD}" name="Detection rate (%)" dataDxfId="81">
      <calculatedColumnFormula>(Data_E12_Wake_WaterOn[[#This Row],[Detected]]/Data_E12_Wake_WaterOn[[#This Row],[Attempts]])*100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9C1E65F-EE26-AA41-9FE6-6A0F53966A0A}" name="Data_E13_Vosk_WaterOff" displayName="Data_E13_Vosk_WaterOff" ref="A1:D6" totalsRowShown="0" headerRowDxfId="86" dataDxfId="91">
  <tableColumns count="4">
    <tableColumn id="1" xr3:uid="{6280E0E7-CA89-F04D-A887-75720F75E91A}" name="Command" dataDxfId="90"/>
    <tableColumn id="2" xr3:uid="{02C0C642-EFF6-7C45-9C32-30D55673F50E}" name="Run 1" dataDxfId="89"/>
    <tableColumn id="3" xr3:uid="{F855706D-5907-7243-B4A6-B182347BFB31}" name="Run 2" dataDxfId="88"/>
    <tableColumn id="4" xr3:uid="{0FF260F8-48F7-F046-91AF-CA6FBC00327E}" name="Combined" dataDxfId="8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93C3C6-E5D1-B74E-A728-ADE106ECDB59}" name="Data_E14_Vosk_Off_WaterOn" displayName="Data_E14_Vosk_Off_WaterOn" ref="A1:D6" totalsRowShown="0" headerRowDxfId="92" dataDxfId="97">
  <tableColumns count="4">
    <tableColumn id="1" xr3:uid="{F313B2C9-D610-7349-80A7-D0D171864E3B}" name="Command" dataDxfId="96"/>
    <tableColumn id="2" xr3:uid="{B7FA7AB5-8055-9A45-8F38-CA9A328FB76A}" name="Correct" dataDxfId="95"/>
    <tableColumn id="3" xr3:uid="{E0FCFC27-DD4B-2749-A87B-A7BA2522F76C}" name="Attempts" dataDxfId="94"/>
    <tableColumn id="4" xr3:uid="{B1D7F8F6-60B0-B54C-A9DA-D8C0BD6BFD92}" name="Accuracy (%)" dataDxfId="9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B8E2F8D-5C70-D648-9531-2B15F6739329}" name="Data_E15_Vosk_Stop_WaterOn" displayName="Data_E15_Vosk_Stop_WaterOn" ref="A1:D6" totalsRowShown="0" headerRowDxfId="98" dataDxfId="103">
  <tableColumns count="4">
    <tableColumn id="1" xr3:uid="{2DCE88AA-C9FA-0D47-B6E2-4E344C4594F8}" name="Command" dataDxfId="102"/>
    <tableColumn id="2" xr3:uid="{4DC44BAE-967C-1545-A068-097B3BCE0867}" name="Correct" dataDxfId="101"/>
    <tableColumn id="3" xr3:uid="{8C7E89BE-BB89-3A49-989D-47E239C0B1C1}" name="Attempts" dataDxfId="100"/>
    <tableColumn id="4" xr3:uid="{21C3BF8C-89AD-0448-B3E0-66D16A01AA48}" name="Accuracy (%)" dataDxfId="9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CD0014F-0712-2342-AF0C-EBE51EFEDB0B}" name="Data_E16_Direct_Flow" displayName="Data_E16_Direct_Flow" ref="A1:E4" totalsRowShown="0" headerRowDxfId="104" dataDxfId="110">
  <tableColumns count="5">
    <tableColumn id="1" xr3:uid="{721B0C6F-0B44-8940-A249-FFFD67D0FA4F}" name="Flow path" dataDxfId="109"/>
    <tableColumn id="2" xr3:uid="{7358B8D7-8AD6-684A-9A9D-AA7B962ADC63}" name="Trial 1 (L/min)" dataDxfId="108"/>
    <tableColumn id="3" xr3:uid="{F9301DF7-C9B5-D049-95E0-4765919CECC8}" name="Trial 2 (L/min)" dataDxfId="107"/>
    <tableColumn id="4" xr3:uid="{D95312A8-95FB-2344-9D99-87982DEF9DBA}" name="Trial 3 (L/min)" dataDxfId="106"/>
    <tableColumn id="5" xr3:uid="{014917EA-758D-9D45-80F6-1A26073F6CA6}" name="Mean (L/min)" dataDxfId="10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1197-3673-A949-BDBE-F72831C9A35D}">
  <dimension ref="A1:B17"/>
  <sheetViews>
    <sheetView workbookViewId="0">
      <selection activeCell="B7" sqref="B7"/>
    </sheetView>
  </sheetViews>
  <sheetFormatPr baseColWidth="10" defaultRowHeight="16" x14ac:dyDescent="0.2"/>
  <cols>
    <col min="1" max="1" width="32.1640625" customWidth="1"/>
    <col min="2" max="2" width="56.33203125" customWidth="1"/>
  </cols>
  <sheetData>
    <row r="1" spans="1:2" x14ac:dyDescent="0.2">
      <c r="A1" s="23" t="s">
        <v>0</v>
      </c>
      <c r="B1" s="23" t="s">
        <v>1</v>
      </c>
    </row>
    <row r="2" spans="1:2" ht="20" customHeight="1" x14ac:dyDescent="0.2">
      <c r="A2" s="1" t="s">
        <v>2</v>
      </c>
      <c r="B2" s="1" t="s">
        <v>3</v>
      </c>
    </row>
    <row r="3" spans="1:2" ht="20" customHeight="1" x14ac:dyDescent="0.2">
      <c r="A3" s="2" t="s">
        <v>4</v>
      </c>
      <c r="B3" s="2" t="s">
        <v>5</v>
      </c>
    </row>
    <row r="4" spans="1:2" ht="20" customHeight="1" x14ac:dyDescent="0.2">
      <c r="A4" s="1" t="s">
        <v>6</v>
      </c>
      <c r="B4" s="1" t="s">
        <v>7</v>
      </c>
    </row>
    <row r="5" spans="1:2" ht="30" customHeight="1" x14ac:dyDescent="0.2">
      <c r="A5" s="2" t="s">
        <v>8</v>
      </c>
      <c r="B5" s="2" t="s">
        <v>9</v>
      </c>
    </row>
    <row r="6" spans="1:2" ht="32" customHeight="1" x14ac:dyDescent="0.2">
      <c r="A6" s="1" t="s">
        <v>10</v>
      </c>
      <c r="B6" s="1" t="s">
        <v>11</v>
      </c>
    </row>
    <row r="7" spans="1:2" ht="31" customHeight="1" x14ac:dyDescent="0.2">
      <c r="A7" s="2" t="s">
        <v>12</v>
      </c>
      <c r="B7" s="2" t="s">
        <v>33</v>
      </c>
    </row>
    <row r="8" spans="1:2" ht="20" customHeight="1" x14ac:dyDescent="0.2">
      <c r="A8" s="1" t="s">
        <v>13</v>
      </c>
      <c r="B8" s="1" t="s">
        <v>14</v>
      </c>
    </row>
    <row r="9" spans="1:2" ht="30" customHeight="1" x14ac:dyDescent="0.2">
      <c r="A9" s="2" t="s">
        <v>15</v>
      </c>
      <c r="B9" s="2" t="s">
        <v>16</v>
      </c>
    </row>
    <row r="10" spans="1:2" ht="20" customHeight="1" x14ac:dyDescent="0.2">
      <c r="A10" s="1" t="s">
        <v>17</v>
      </c>
      <c r="B10" s="1" t="s">
        <v>18</v>
      </c>
    </row>
    <row r="11" spans="1:2" ht="30" customHeight="1" x14ac:dyDescent="0.2">
      <c r="A11" s="2" t="s">
        <v>19</v>
      </c>
      <c r="B11" s="2" t="s">
        <v>20</v>
      </c>
    </row>
    <row r="12" spans="1:2" ht="20" customHeight="1" x14ac:dyDescent="0.2">
      <c r="A12" s="1" t="s">
        <v>21</v>
      </c>
      <c r="B12" s="1" t="s">
        <v>22</v>
      </c>
    </row>
    <row r="13" spans="1:2" ht="20" customHeight="1" x14ac:dyDescent="0.2">
      <c r="A13" s="2" t="s">
        <v>23</v>
      </c>
      <c r="B13" s="2" t="s">
        <v>24</v>
      </c>
    </row>
    <row r="14" spans="1:2" ht="30" customHeight="1" x14ac:dyDescent="0.2">
      <c r="A14" s="1" t="s">
        <v>25</v>
      </c>
      <c r="B14" s="1" t="s">
        <v>26</v>
      </c>
    </row>
    <row r="15" spans="1:2" ht="20" customHeight="1" x14ac:dyDescent="0.2">
      <c r="A15" s="2" t="s">
        <v>27</v>
      </c>
      <c r="B15" s="2" t="s">
        <v>28</v>
      </c>
    </row>
    <row r="16" spans="1:2" ht="20" customHeight="1" x14ac:dyDescent="0.2">
      <c r="A16" s="1" t="s">
        <v>29</v>
      </c>
      <c r="B16" s="1" t="s">
        <v>30</v>
      </c>
    </row>
    <row r="17" spans="1:2" ht="20" customHeight="1" x14ac:dyDescent="0.2">
      <c r="A17" s="2" t="s">
        <v>31</v>
      </c>
      <c r="B17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6526-121F-2147-87EB-EB2372FB167B}">
  <dimension ref="A1:E10"/>
  <sheetViews>
    <sheetView workbookViewId="0">
      <selection activeCell="B13" sqref="B13"/>
    </sheetView>
  </sheetViews>
  <sheetFormatPr baseColWidth="10" defaultRowHeight="16" x14ac:dyDescent="0.2"/>
  <sheetData>
    <row r="1" spans="1:5" ht="31" x14ac:dyDescent="0.2">
      <c r="A1" s="22" t="s">
        <v>34</v>
      </c>
      <c r="B1" s="22" t="s">
        <v>35</v>
      </c>
      <c r="C1" s="22" t="s">
        <v>36</v>
      </c>
      <c r="D1" s="22" t="s">
        <v>37</v>
      </c>
      <c r="E1" s="22" t="s">
        <v>38</v>
      </c>
    </row>
    <row r="2" spans="1:5" x14ac:dyDescent="0.2">
      <c r="A2" s="20">
        <v>30</v>
      </c>
      <c r="B2" s="20">
        <v>1</v>
      </c>
      <c r="C2" s="20">
        <v>38</v>
      </c>
      <c r="D2" s="20">
        <v>7.98</v>
      </c>
      <c r="E2" s="20">
        <v>12.6</v>
      </c>
    </row>
    <row r="3" spans="1:5" x14ac:dyDescent="0.2">
      <c r="A3" s="20">
        <v>30</v>
      </c>
      <c r="B3" s="20">
        <v>2</v>
      </c>
      <c r="C3" s="20">
        <v>47</v>
      </c>
      <c r="D3" s="20">
        <v>10.8</v>
      </c>
      <c r="E3" s="20">
        <v>13.79</v>
      </c>
    </row>
    <row r="4" spans="1:5" x14ac:dyDescent="0.2">
      <c r="A4" s="20">
        <v>30</v>
      </c>
      <c r="B4" s="20">
        <v>3</v>
      </c>
      <c r="C4" s="20">
        <v>27</v>
      </c>
      <c r="D4" s="20">
        <v>6.2</v>
      </c>
      <c r="E4" s="20">
        <v>13.78</v>
      </c>
    </row>
    <row r="5" spans="1:5" x14ac:dyDescent="0.2">
      <c r="A5" s="20">
        <v>37</v>
      </c>
      <c r="B5" s="20">
        <v>1</v>
      </c>
      <c r="C5" s="20">
        <v>65</v>
      </c>
      <c r="D5" s="20">
        <v>19.100000000000001</v>
      </c>
      <c r="E5" s="20">
        <v>17.63</v>
      </c>
    </row>
    <row r="6" spans="1:5" x14ac:dyDescent="0.2">
      <c r="A6" s="20">
        <v>37</v>
      </c>
      <c r="B6" s="20">
        <v>2</v>
      </c>
      <c r="C6" s="20">
        <v>35</v>
      </c>
      <c r="D6" s="20">
        <v>9.98</v>
      </c>
      <c r="E6" s="20">
        <v>17.11</v>
      </c>
    </row>
    <row r="7" spans="1:5" x14ac:dyDescent="0.2">
      <c r="A7" s="20">
        <v>37</v>
      </c>
      <c r="B7" s="20">
        <v>3</v>
      </c>
      <c r="C7" s="20">
        <v>50</v>
      </c>
      <c r="D7" s="20">
        <v>13.3</v>
      </c>
      <c r="E7" s="20">
        <v>15.96</v>
      </c>
    </row>
    <row r="8" spans="1:5" x14ac:dyDescent="0.2">
      <c r="A8" s="20">
        <v>40</v>
      </c>
      <c r="B8" s="20">
        <v>1</v>
      </c>
      <c r="C8" s="20">
        <v>37</v>
      </c>
      <c r="D8" s="20">
        <v>8.91</v>
      </c>
      <c r="E8" s="20">
        <v>14.45</v>
      </c>
    </row>
    <row r="9" spans="1:5" x14ac:dyDescent="0.2">
      <c r="A9" s="20">
        <v>40</v>
      </c>
      <c r="B9" s="20">
        <v>2</v>
      </c>
      <c r="C9" s="20">
        <v>37</v>
      </c>
      <c r="D9" s="20">
        <v>9.1</v>
      </c>
      <c r="E9" s="20">
        <v>14.76</v>
      </c>
    </row>
    <row r="10" spans="1:5" x14ac:dyDescent="0.2">
      <c r="A10" s="20">
        <v>40</v>
      </c>
      <c r="B10" s="20">
        <v>3</v>
      </c>
      <c r="C10" s="20">
        <v>40</v>
      </c>
      <c r="D10" s="20">
        <v>10.4</v>
      </c>
      <c r="E10" s="20">
        <v>15.6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B603-530F-5147-989E-29738E350732}">
  <dimension ref="A1:E10"/>
  <sheetViews>
    <sheetView workbookViewId="0">
      <selection activeCell="E4" sqref="E4"/>
    </sheetView>
  </sheetViews>
  <sheetFormatPr baseColWidth="10" defaultRowHeight="16" x14ac:dyDescent="0.2"/>
  <sheetData>
    <row r="1" spans="1:5" ht="31" x14ac:dyDescent="0.2">
      <c r="A1" s="21" t="s">
        <v>34</v>
      </c>
      <c r="B1" s="21" t="s">
        <v>35</v>
      </c>
      <c r="C1" s="21" t="s">
        <v>36</v>
      </c>
      <c r="D1" s="21" t="s">
        <v>37</v>
      </c>
      <c r="E1" s="21" t="s">
        <v>38</v>
      </c>
    </row>
    <row r="2" spans="1:5" x14ac:dyDescent="0.2">
      <c r="A2" s="20">
        <v>30</v>
      </c>
      <c r="B2" s="20">
        <v>1</v>
      </c>
      <c r="C2" s="20">
        <v>35</v>
      </c>
      <c r="D2" s="20">
        <v>7.29</v>
      </c>
      <c r="E2" s="20">
        <v>12.5</v>
      </c>
    </row>
    <row r="3" spans="1:5" x14ac:dyDescent="0.2">
      <c r="A3" s="20">
        <v>30</v>
      </c>
      <c r="B3" s="20">
        <v>2</v>
      </c>
      <c r="C3" s="20">
        <v>44</v>
      </c>
      <c r="D3" s="20">
        <v>9.61</v>
      </c>
      <c r="E3" s="20">
        <v>13.1</v>
      </c>
    </row>
    <row r="4" spans="1:5" x14ac:dyDescent="0.2">
      <c r="A4" s="20">
        <v>30</v>
      </c>
      <c r="B4" s="20">
        <v>3</v>
      </c>
      <c r="C4" s="20">
        <v>41</v>
      </c>
      <c r="D4" s="20">
        <v>8.75</v>
      </c>
      <c r="E4" s="20">
        <v>12.8</v>
      </c>
    </row>
    <row r="5" spans="1:5" x14ac:dyDescent="0.2">
      <c r="A5" s="20">
        <v>37</v>
      </c>
      <c r="B5" s="20">
        <v>1</v>
      </c>
      <c r="C5" s="20">
        <v>48</v>
      </c>
      <c r="D5" s="20">
        <v>12.64</v>
      </c>
      <c r="E5" s="20">
        <v>15.8</v>
      </c>
    </row>
    <row r="6" spans="1:5" x14ac:dyDescent="0.2">
      <c r="A6" s="20">
        <v>37</v>
      </c>
      <c r="B6" s="20">
        <v>2</v>
      </c>
      <c r="C6" s="20">
        <v>60</v>
      </c>
      <c r="D6" s="20">
        <v>16.399999999999999</v>
      </c>
      <c r="E6" s="20">
        <v>16.399999999999999</v>
      </c>
    </row>
    <row r="7" spans="1:5" x14ac:dyDescent="0.2">
      <c r="A7" s="20">
        <v>37</v>
      </c>
      <c r="B7" s="20">
        <v>3</v>
      </c>
      <c r="C7" s="20">
        <v>51</v>
      </c>
      <c r="D7" s="20">
        <v>13.69</v>
      </c>
      <c r="E7" s="20">
        <v>16.100000000000001</v>
      </c>
    </row>
    <row r="8" spans="1:5" x14ac:dyDescent="0.2">
      <c r="A8" s="20">
        <v>40</v>
      </c>
      <c r="B8" s="20">
        <v>1</v>
      </c>
      <c r="C8" s="20">
        <v>38</v>
      </c>
      <c r="D8" s="20">
        <v>8.8000000000000007</v>
      </c>
      <c r="E8" s="20">
        <v>13.9</v>
      </c>
    </row>
    <row r="9" spans="1:5" x14ac:dyDescent="0.2">
      <c r="A9" s="20">
        <v>40</v>
      </c>
      <c r="B9" s="20">
        <v>2</v>
      </c>
      <c r="C9" s="20">
        <v>43</v>
      </c>
      <c r="D9" s="20">
        <v>10.46</v>
      </c>
      <c r="E9" s="20">
        <v>14.6</v>
      </c>
    </row>
    <row r="10" spans="1:5" x14ac:dyDescent="0.2">
      <c r="A10" s="20">
        <v>40</v>
      </c>
      <c r="B10" s="20">
        <v>3</v>
      </c>
      <c r="C10" s="20">
        <v>42</v>
      </c>
      <c r="D10" s="20">
        <v>10.08</v>
      </c>
      <c r="E10" s="20">
        <v>14.4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64A2-D18F-1541-AA55-6E028FAE689B}">
  <dimension ref="A1:E10"/>
  <sheetViews>
    <sheetView workbookViewId="0">
      <selection activeCell="C13" sqref="C13"/>
    </sheetView>
  </sheetViews>
  <sheetFormatPr baseColWidth="10" defaultRowHeight="16" x14ac:dyDescent="0.2"/>
  <sheetData>
    <row r="1" spans="1:5" ht="31" x14ac:dyDescent="0.2">
      <c r="A1" s="18" t="s">
        <v>34</v>
      </c>
      <c r="B1" s="18" t="s">
        <v>35</v>
      </c>
      <c r="C1" s="18" t="s">
        <v>36</v>
      </c>
      <c r="D1" s="18" t="s">
        <v>37</v>
      </c>
      <c r="E1" s="18" t="s">
        <v>38</v>
      </c>
    </row>
    <row r="2" spans="1:5" x14ac:dyDescent="0.2">
      <c r="A2" s="19">
        <v>30</v>
      </c>
      <c r="B2" s="19">
        <v>1</v>
      </c>
      <c r="C2" s="19">
        <v>28</v>
      </c>
      <c r="D2" s="19">
        <v>5.93</v>
      </c>
      <c r="E2" s="19">
        <v>12.7</v>
      </c>
    </row>
    <row r="3" spans="1:5" x14ac:dyDescent="0.2">
      <c r="A3" s="19">
        <v>30</v>
      </c>
      <c r="B3" s="19">
        <v>2</v>
      </c>
      <c r="C3" s="19">
        <v>34</v>
      </c>
      <c r="D3" s="19">
        <v>7.54</v>
      </c>
      <c r="E3" s="19">
        <v>13.3</v>
      </c>
    </row>
    <row r="4" spans="1:5" x14ac:dyDescent="0.2">
      <c r="A4" s="19">
        <v>30</v>
      </c>
      <c r="B4" s="19">
        <v>3</v>
      </c>
      <c r="C4" s="19">
        <v>31</v>
      </c>
      <c r="D4" s="19">
        <v>6.72</v>
      </c>
      <c r="E4" s="19">
        <v>13</v>
      </c>
    </row>
    <row r="5" spans="1:5" x14ac:dyDescent="0.2">
      <c r="A5" s="19">
        <v>37</v>
      </c>
      <c r="B5" s="19">
        <v>1</v>
      </c>
      <c r="C5" s="19">
        <v>38</v>
      </c>
      <c r="D5" s="19">
        <v>9.6300000000000008</v>
      </c>
      <c r="E5" s="19">
        <v>15.2</v>
      </c>
    </row>
    <row r="6" spans="1:5" x14ac:dyDescent="0.2">
      <c r="A6" s="19">
        <v>37</v>
      </c>
      <c r="B6" s="19">
        <v>2</v>
      </c>
      <c r="C6" s="19">
        <v>47</v>
      </c>
      <c r="D6" s="19">
        <v>12.53</v>
      </c>
      <c r="E6" s="19">
        <v>16</v>
      </c>
    </row>
    <row r="7" spans="1:5" x14ac:dyDescent="0.2">
      <c r="A7" s="19">
        <v>37</v>
      </c>
      <c r="B7" s="19">
        <v>3</v>
      </c>
      <c r="C7" s="19">
        <v>41</v>
      </c>
      <c r="D7" s="19">
        <v>10.66</v>
      </c>
      <c r="E7" s="19">
        <v>15.6</v>
      </c>
    </row>
    <row r="8" spans="1:5" x14ac:dyDescent="0.2">
      <c r="A8" s="19">
        <v>40</v>
      </c>
      <c r="B8" s="19">
        <v>1</v>
      </c>
      <c r="C8" s="19">
        <v>30</v>
      </c>
      <c r="D8" s="19">
        <v>6.95</v>
      </c>
      <c r="E8" s="19">
        <v>13.9</v>
      </c>
    </row>
    <row r="9" spans="1:5" x14ac:dyDescent="0.2">
      <c r="A9" s="19">
        <v>40</v>
      </c>
      <c r="B9" s="19">
        <v>2</v>
      </c>
      <c r="C9" s="19">
        <v>36</v>
      </c>
      <c r="D9" s="19">
        <v>8.6999999999999993</v>
      </c>
      <c r="E9" s="19">
        <v>14.5</v>
      </c>
    </row>
    <row r="10" spans="1:5" x14ac:dyDescent="0.2">
      <c r="A10" s="19">
        <v>40</v>
      </c>
      <c r="B10" s="19">
        <v>3</v>
      </c>
      <c r="C10" s="19">
        <v>33</v>
      </c>
      <c r="D10" s="19">
        <v>7.81</v>
      </c>
      <c r="E10" s="19">
        <v>14.2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587F-910A-2C48-9861-270A4F93E583}">
  <dimension ref="A1:F10"/>
  <sheetViews>
    <sheetView workbookViewId="0">
      <selection activeCell="E2" sqref="E2:E10"/>
    </sheetView>
  </sheetViews>
  <sheetFormatPr baseColWidth="10" defaultRowHeight="16" x14ac:dyDescent="0.2"/>
  <cols>
    <col min="5" max="5" width="11.6640625" bestFit="1" customWidth="1"/>
  </cols>
  <sheetData>
    <row r="1" spans="1:6" ht="31" x14ac:dyDescent="0.2">
      <c r="A1" s="17" t="s">
        <v>35</v>
      </c>
      <c r="B1" s="17" t="s">
        <v>34</v>
      </c>
      <c r="C1" s="17" t="s">
        <v>39</v>
      </c>
      <c r="D1" s="17" t="s">
        <v>40</v>
      </c>
      <c r="E1" s="17" t="s">
        <v>38</v>
      </c>
      <c r="F1" s="17" t="s">
        <v>41</v>
      </c>
    </row>
    <row r="2" spans="1:6" ht="46" x14ac:dyDescent="0.2">
      <c r="A2" s="4">
        <v>1</v>
      </c>
      <c r="B2" s="4">
        <v>30</v>
      </c>
      <c r="C2" s="4">
        <v>8.48</v>
      </c>
      <c r="D2" s="4">
        <v>1.51</v>
      </c>
      <c r="E2" s="10">
        <f>(Data_E04_Warm_Mixed[[#This Row],[Diverted volume (L)]]/Data_E04_Warm_Mixed[[#This Row],[Time to READY (s)]])*60</f>
        <v>10.683962264150944</v>
      </c>
      <c r="F2" s="4" t="s">
        <v>42</v>
      </c>
    </row>
    <row r="3" spans="1:6" ht="46" x14ac:dyDescent="0.2">
      <c r="A3" s="4">
        <v>2</v>
      </c>
      <c r="B3" s="4">
        <v>40</v>
      </c>
      <c r="C3" s="4">
        <v>48.67</v>
      </c>
      <c r="D3" s="4">
        <v>6.45</v>
      </c>
      <c r="E3" s="10">
        <f>(Data_E04_Warm_Mixed[[#This Row],[Diverted volume (L)]]/Data_E04_Warm_Mixed[[#This Row],[Time to READY (s)]])*60</f>
        <v>7.951510170536265</v>
      </c>
      <c r="F3" s="4" t="s">
        <v>43</v>
      </c>
    </row>
    <row r="4" spans="1:6" x14ac:dyDescent="0.2">
      <c r="A4" s="4">
        <v>3</v>
      </c>
      <c r="B4" s="4">
        <v>37</v>
      </c>
      <c r="C4" s="4">
        <v>21.28</v>
      </c>
      <c r="D4" s="4">
        <v>1.825</v>
      </c>
      <c r="E4" s="10">
        <f>(Data_E04_Warm_Mixed[[#This Row],[Diverted volume (L)]]/Data_E04_Warm_Mixed[[#This Row],[Time to READY (s)]])*60</f>
        <v>5.1456766917293235</v>
      </c>
      <c r="F4" s="4" t="s">
        <v>44</v>
      </c>
    </row>
    <row r="5" spans="1:6" x14ac:dyDescent="0.2">
      <c r="A5" s="4">
        <v>4</v>
      </c>
      <c r="B5" s="4">
        <v>30</v>
      </c>
      <c r="C5" s="4">
        <v>10.76</v>
      </c>
      <c r="D5" s="4">
        <v>1.159</v>
      </c>
      <c r="E5" s="10">
        <f>(Data_E04_Warm_Mixed[[#This Row],[Diverted volume (L)]]/Data_E04_Warm_Mixed[[#This Row],[Time to READY (s)]])*60</f>
        <v>6.4628252788104099</v>
      </c>
      <c r="F5" s="4" t="s">
        <v>44</v>
      </c>
    </row>
    <row r="6" spans="1:6" x14ac:dyDescent="0.2">
      <c r="A6" s="4">
        <v>5</v>
      </c>
      <c r="B6" s="4">
        <v>37</v>
      </c>
      <c r="C6" s="4">
        <v>28.32</v>
      </c>
      <c r="D6" s="4">
        <v>2.5499999999999998</v>
      </c>
      <c r="E6" s="10">
        <f>(Data_E04_Warm_Mixed[[#This Row],[Diverted volume (L)]]/Data_E04_Warm_Mixed[[#This Row],[Time to READY (s)]])*60</f>
        <v>5.4025423728813555</v>
      </c>
      <c r="F6" s="4" t="s">
        <v>44</v>
      </c>
    </row>
    <row r="7" spans="1:6" x14ac:dyDescent="0.2">
      <c r="A7" s="4">
        <v>6</v>
      </c>
      <c r="B7" s="4">
        <v>40</v>
      </c>
      <c r="C7" s="4">
        <v>11.08</v>
      </c>
      <c r="D7" s="4">
        <v>1.232</v>
      </c>
      <c r="E7" s="10">
        <f>(Data_E04_Warm_Mixed[[#This Row],[Diverted volume (L)]]/Data_E04_Warm_Mixed[[#This Row],[Time to READY (s)]])*60</f>
        <v>6.6714801444043319</v>
      </c>
      <c r="F7" s="4" t="s">
        <v>44</v>
      </c>
    </row>
    <row r="8" spans="1:6" x14ac:dyDescent="0.2">
      <c r="A8" s="4">
        <v>7</v>
      </c>
      <c r="B8" s="4">
        <v>40</v>
      </c>
      <c r="C8" s="4">
        <v>14.82</v>
      </c>
      <c r="D8" s="4">
        <v>1.337</v>
      </c>
      <c r="E8" s="10">
        <f>(Data_E04_Warm_Mixed[[#This Row],[Diverted volume (L)]]/Data_E04_Warm_Mixed[[#This Row],[Time to READY (s)]])*60</f>
        <v>5.4129554655870447</v>
      </c>
      <c r="F8" s="4" t="s">
        <v>44</v>
      </c>
    </row>
    <row r="9" spans="1:6" x14ac:dyDescent="0.2">
      <c r="A9" s="4">
        <v>8</v>
      </c>
      <c r="B9" s="4">
        <v>30</v>
      </c>
      <c r="C9" s="4">
        <v>16.32</v>
      </c>
      <c r="D9" s="4">
        <v>1.5940000000000001</v>
      </c>
      <c r="E9" s="10">
        <f>(Data_E04_Warm_Mixed[[#This Row],[Diverted volume (L)]]/Data_E04_Warm_Mixed[[#This Row],[Time to READY (s)]])*60</f>
        <v>5.8602941176470589</v>
      </c>
      <c r="F9" s="4" t="s">
        <v>44</v>
      </c>
    </row>
    <row r="10" spans="1:6" x14ac:dyDescent="0.2">
      <c r="A10" s="4">
        <v>9</v>
      </c>
      <c r="B10" s="4">
        <v>37</v>
      </c>
      <c r="C10" s="4">
        <v>19.559999999999999</v>
      </c>
      <c r="D10" s="4">
        <v>1.6879999999999999</v>
      </c>
      <c r="E10" s="10">
        <f>(Data_E04_Warm_Mixed[[#This Row],[Diverted volume (L)]]/Data_E04_Warm_Mixed[[#This Row],[Time to READY (s)]])*60</f>
        <v>5.1779141104294473</v>
      </c>
      <c r="F10" s="4" t="s">
        <v>44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A036C-C7BD-CC45-9BA9-62347A36E113}">
  <dimension ref="A1:E10"/>
  <sheetViews>
    <sheetView workbookViewId="0">
      <selection activeCell="F9" sqref="F9"/>
    </sheetView>
  </sheetViews>
  <sheetFormatPr baseColWidth="10" defaultRowHeight="16" x14ac:dyDescent="0.2"/>
  <sheetData>
    <row r="1" spans="1:5" ht="46" x14ac:dyDescent="0.2">
      <c r="A1" s="16" t="s">
        <v>35</v>
      </c>
      <c r="B1" s="16" t="s">
        <v>34</v>
      </c>
      <c r="C1" s="16" t="s">
        <v>39</v>
      </c>
      <c r="D1" s="16" t="s">
        <v>40</v>
      </c>
      <c r="E1" s="16" t="s">
        <v>45</v>
      </c>
    </row>
    <row r="2" spans="1:5" ht="31" x14ac:dyDescent="0.2">
      <c r="A2" s="4">
        <v>1</v>
      </c>
      <c r="B2" s="4">
        <v>30</v>
      </c>
      <c r="C2" s="4">
        <v>95</v>
      </c>
      <c r="D2" s="4">
        <v>8.9</v>
      </c>
      <c r="E2" s="4" t="s">
        <v>46</v>
      </c>
    </row>
    <row r="3" spans="1:5" x14ac:dyDescent="0.2">
      <c r="A3" s="4">
        <v>2</v>
      </c>
      <c r="B3" s="4">
        <v>40</v>
      </c>
      <c r="C3" s="4">
        <v>44.69</v>
      </c>
      <c r="D3" s="4">
        <v>5.2850000000000001</v>
      </c>
      <c r="E3" s="4" t="s">
        <v>47</v>
      </c>
    </row>
    <row r="4" spans="1:5" x14ac:dyDescent="0.2">
      <c r="A4" s="4">
        <v>3</v>
      </c>
      <c r="B4" s="4">
        <v>37</v>
      </c>
      <c r="C4" s="4">
        <v>14.82</v>
      </c>
      <c r="D4" s="4">
        <v>1.9059999999999999</v>
      </c>
      <c r="E4" s="4" t="s">
        <v>47</v>
      </c>
    </row>
    <row r="5" spans="1:5" x14ac:dyDescent="0.2">
      <c r="A5" s="4">
        <v>4</v>
      </c>
      <c r="B5" s="4">
        <v>30</v>
      </c>
      <c r="C5" s="4">
        <v>53.26</v>
      </c>
      <c r="D5" s="4">
        <v>4.7030000000000003</v>
      </c>
      <c r="E5" s="4" t="s">
        <v>47</v>
      </c>
    </row>
    <row r="6" spans="1:5" x14ac:dyDescent="0.2">
      <c r="A6" s="4">
        <v>5</v>
      </c>
      <c r="B6" s="4">
        <v>37</v>
      </c>
      <c r="C6" s="4">
        <v>20.55</v>
      </c>
      <c r="D6" s="4">
        <v>1.7050000000000001</v>
      </c>
      <c r="E6" s="4" t="s">
        <v>47</v>
      </c>
    </row>
    <row r="7" spans="1:5" x14ac:dyDescent="0.2">
      <c r="A7" s="4">
        <v>6</v>
      </c>
      <c r="B7" s="4">
        <v>40</v>
      </c>
      <c r="C7" s="4">
        <v>23.63</v>
      </c>
      <c r="D7" s="4">
        <v>1.8720000000000001</v>
      </c>
      <c r="E7" s="4" t="s">
        <v>47</v>
      </c>
    </row>
    <row r="8" spans="1:5" x14ac:dyDescent="0.2">
      <c r="A8" s="4">
        <v>7</v>
      </c>
      <c r="B8" s="4">
        <v>40</v>
      </c>
      <c r="C8" s="4">
        <v>13.99</v>
      </c>
      <c r="D8" s="4">
        <v>1.498</v>
      </c>
      <c r="E8" s="4" t="s">
        <v>47</v>
      </c>
    </row>
    <row r="9" spans="1:5" x14ac:dyDescent="0.2">
      <c r="A9" s="4">
        <v>8</v>
      </c>
      <c r="B9" s="4">
        <v>30</v>
      </c>
      <c r="C9" s="4">
        <v>44.49</v>
      </c>
      <c r="D9" s="4">
        <v>5.6890000000000001</v>
      </c>
      <c r="E9" s="4" t="s">
        <v>47</v>
      </c>
    </row>
    <row r="10" spans="1:5" x14ac:dyDescent="0.2">
      <c r="A10" s="4">
        <v>9</v>
      </c>
      <c r="B10" s="4">
        <v>37</v>
      </c>
      <c r="C10" s="4">
        <v>34.130000000000003</v>
      </c>
      <c r="D10" s="4">
        <v>3.016</v>
      </c>
      <c r="E10" s="4" t="s">
        <v>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94D1-B40C-1247-BC90-7CED87D3E517}">
  <dimension ref="A1:E10"/>
  <sheetViews>
    <sheetView workbookViewId="0">
      <selection activeCell="E3" sqref="E3"/>
    </sheetView>
  </sheetViews>
  <sheetFormatPr baseColWidth="10" defaultRowHeight="16" x14ac:dyDescent="0.2"/>
  <sheetData>
    <row r="1" spans="1:5" ht="46" x14ac:dyDescent="0.2">
      <c r="A1" s="15" t="s">
        <v>35</v>
      </c>
      <c r="B1" s="15" t="s">
        <v>34</v>
      </c>
      <c r="C1" s="15" t="s">
        <v>39</v>
      </c>
      <c r="D1" s="15" t="s">
        <v>40</v>
      </c>
      <c r="E1" s="15" t="s">
        <v>45</v>
      </c>
    </row>
    <row r="2" spans="1:5" ht="31" x14ac:dyDescent="0.2">
      <c r="A2" s="4">
        <v>1</v>
      </c>
      <c r="B2" s="4">
        <v>30</v>
      </c>
      <c r="C2" s="4">
        <v>90</v>
      </c>
      <c r="D2" s="4">
        <v>7.4</v>
      </c>
      <c r="E2" s="4" t="s">
        <v>46</v>
      </c>
    </row>
    <row r="3" spans="1:5" x14ac:dyDescent="0.2">
      <c r="A3" s="4">
        <v>2</v>
      </c>
      <c r="B3" s="4">
        <v>40</v>
      </c>
      <c r="C3" s="4">
        <v>17.87</v>
      </c>
      <c r="D3" s="4">
        <v>1.948</v>
      </c>
      <c r="E3" s="4" t="s">
        <v>47</v>
      </c>
    </row>
    <row r="4" spans="1:5" x14ac:dyDescent="0.2">
      <c r="A4" s="4">
        <v>3</v>
      </c>
      <c r="B4" s="4">
        <v>37</v>
      </c>
      <c r="C4" s="4">
        <v>20.100000000000001</v>
      </c>
      <c r="D4" s="4">
        <v>1.93</v>
      </c>
      <c r="E4" s="4" t="s">
        <v>47</v>
      </c>
    </row>
    <row r="5" spans="1:5" x14ac:dyDescent="0.2">
      <c r="A5" s="4">
        <v>4</v>
      </c>
      <c r="B5" s="4">
        <v>30</v>
      </c>
      <c r="C5" s="4">
        <v>10.08</v>
      </c>
      <c r="D5" s="4">
        <v>1.2350000000000001</v>
      </c>
      <c r="E5" s="4" t="s">
        <v>47</v>
      </c>
    </row>
    <row r="6" spans="1:5" x14ac:dyDescent="0.2">
      <c r="A6" s="4">
        <v>5</v>
      </c>
      <c r="B6" s="4">
        <v>37</v>
      </c>
      <c r="C6" s="4">
        <v>11.31</v>
      </c>
      <c r="D6" s="4">
        <v>0.94299999999999995</v>
      </c>
      <c r="E6" s="4" t="s">
        <v>47</v>
      </c>
    </row>
    <row r="7" spans="1:5" x14ac:dyDescent="0.2">
      <c r="A7" s="4">
        <v>6</v>
      </c>
      <c r="B7" s="4">
        <v>40</v>
      </c>
      <c r="C7" s="4">
        <v>11.41</v>
      </c>
      <c r="D7" s="4">
        <v>0.97599999999999998</v>
      </c>
      <c r="E7" s="4" t="s">
        <v>47</v>
      </c>
    </row>
    <row r="8" spans="1:5" x14ac:dyDescent="0.2">
      <c r="A8" s="4">
        <v>7</v>
      </c>
      <c r="B8" s="4">
        <v>40</v>
      </c>
      <c r="C8" s="4">
        <v>16.600000000000001</v>
      </c>
      <c r="D8" s="4">
        <v>1.532</v>
      </c>
      <c r="E8" s="4" t="s">
        <v>47</v>
      </c>
    </row>
    <row r="9" spans="1:5" x14ac:dyDescent="0.2">
      <c r="A9" s="4">
        <v>8</v>
      </c>
      <c r="B9" s="4">
        <v>30</v>
      </c>
      <c r="C9" s="4">
        <v>16.82</v>
      </c>
      <c r="D9" s="4">
        <v>1.5960000000000001</v>
      </c>
      <c r="E9" s="4" t="s">
        <v>47</v>
      </c>
    </row>
    <row r="10" spans="1:5" x14ac:dyDescent="0.2">
      <c r="A10" s="4">
        <v>9</v>
      </c>
      <c r="B10" s="4">
        <v>37</v>
      </c>
      <c r="C10" s="4">
        <v>18.670000000000002</v>
      </c>
      <c r="D10" s="4">
        <v>1.5780000000000001</v>
      </c>
      <c r="E10" s="4" t="s">
        <v>47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4D74-8E29-5349-BA54-E63D5C3866F0}">
  <dimension ref="A1:F7"/>
  <sheetViews>
    <sheetView workbookViewId="0">
      <selection activeCell="F1" sqref="F1"/>
    </sheetView>
  </sheetViews>
  <sheetFormatPr baseColWidth="10" defaultRowHeight="16" x14ac:dyDescent="0.2"/>
  <cols>
    <col min="4" max="4" width="13.83203125" customWidth="1"/>
  </cols>
  <sheetData>
    <row r="1" spans="1:6" ht="31" x14ac:dyDescent="0.2">
      <c r="A1" s="14" t="s">
        <v>48</v>
      </c>
      <c r="B1" s="14" t="s">
        <v>49</v>
      </c>
      <c r="C1" s="14" t="s">
        <v>50</v>
      </c>
      <c r="D1" s="14" t="s">
        <v>51</v>
      </c>
      <c r="E1" s="14" t="s">
        <v>52</v>
      </c>
      <c r="F1" s="14" t="s">
        <v>53</v>
      </c>
    </row>
    <row r="2" spans="1:6" x14ac:dyDescent="0.2">
      <c r="A2" s="4">
        <v>1</v>
      </c>
      <c r="B2" s="4">
        <v>0.03</v>
      </c>
      <c r="C2" s="4">
        <v>7.75</v>
      </c>
      <c r="D2" s="4">
        <v>7.44</v>
      </c>
      <c r="E2" s="4">
        <v>3.07</v>
      </c>
      <c r="F2" s="4">
        <v>21</v>
      </c>
    </row>
    <row r="3" spans="1:6" x14ac:dyDescent="0.2">
      <c r="A3" s="4">
        <v>1</v>
      </c>
      <c r="B3" s="4">
        <v>1.4999999999999999E-2</v>
      </c>
      <c r="C3" s="4">
        <v>5.31</v>
      </c>
      <c r="D3" s="4">
        <v>3.06</v>
      </c>
      <c r="E3" s="4">
        <v>2.35</v>
      </c>
      <c r="F3" s="4">
        <v>17</v>
      </c>
    </row>
    <row r="4" spans="1:6" x14ac:dyDescent="0.2">
      <c r="A4" s="4">
        <v>2</v>
      </c>
      <c r="B4" s="4">
        <v>0.03</v>
      </c>
      <c r="C4" s="4">
        <v>6.12</v>
      </c>
      <c r="D4" s="4">
        <v>5.44</v>
      </c>
      <c r="E4" s="4">
        <v>2.21</v>
      </c>
      <c r="F4" s="4">
        <v>31</v>
      </c>
    </row>
    <row r="5" spans="1:6" x14ac:dyDescent="0.2">
      <c r="A5" s="4">
        <v>2</v>
      </c>
      <c r="B5" s="4">
        <v>1.4999999999999999E-2</v>
      </c>
      <c r="C5" s="4">
        <v>4.25</v>
      </c>
      <c r="D5" s="4">
        <v>3.88</v>
      </c>
      <c r="E5" s="4">
        <v>1.61</v>
      </c>
      <c r="F5" s="4">
        <v>27</v>
      </c>
    </row>
    <row r="6" spans="1:6" x14ac:dyDescent="0.2">
      <c r="A6" s="4">
        <v>3</v>
      </c>
      <c r="B6" s="4">
        <v>0.03</v>
      </c>
      <c r="C6" s="4">
        <v>6.81</v>
      </c>
      <c r="D6" s="4">
        <v>4.75</v>
      </c>
      <c r="E6" s="4">
        <v>2.94</v>
      </c>
      <c r="F6" s="4">
        <v>41</v>
      </c>
    </row>
    <row r="7" spans="1:6" x14ac:dyDescent="0.2">
      <c r="A7" s="4">
        <v>3</v>
      </c>
      <c r="B7" s="4">
        <v>1.4999999999999999E-2</v>
      </c>
      <c r="C7" s="4">
        <v>5.38</v>
      </c>
      <c r="D7" s="4">
        <v>4.75</v>
      </c>
      <c r="E7" s="4">
        <v>2.17</v>
      </c>
      <c r="F7" s="4">
        <v>35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8401B-F114-844A-815C-5CCD0F833FC7}">
  <dimension ref="A1:F7"/>
  <sheetViews>
    <sheetView workbookViewId="0">
      <selection activeCell="A2" sqref="A2:F7"/>
    </sheetView>
  </sheetViews>
  <sheetFormatPr baseColWidth="10" defaultRowHeight="16" x14ac:dyDescent="0.2"/>
  <sheetData>
    <row r="1" spans="1:6" ht="31" x14ac:dyDescent="0.2">
      <c r="A1" s="3" t="s">
        <v>48</v>
      </c>
      <c r="B1" s="3" t="s">
        <v>54</v>
      </c>
      <c r="C1" s="3" t="s">
        <v>50</v>
      </c>
      <c r="D1" s="3" t="s">
        <v>51</v>
      </c>
      <c r="E1" s="3" t="s">
        <v>52</v>
      </c>
      <c r="F1" s="3" t="s">
        <v>53</v>
      </c>
    </row>
    <row r="2" spans="1:6" x14ac:dyDescent="0.2">
      <c r="A2" s="4">
        <v>1</v>
      </c>
      <c r="B2" s="4">
        <v>0.1</v>
      </c>
      <c r="C2" s="4">
        <v>4.9400000000000004</v>
      </c>
      <c r="D2" s="4">
        <v>5.25</v>
      </c>
      <c r="E2" s="4">
        <v>2.04</v>
      </c>
      <c r="F2" s="4">
        <v>33</v>
      </c>
    </row>
    <row r="3" spans="1:6" x14ac:dyDescent="0.2">
      <c r="A3" s="4">
        <v>1</v>
      </c>
      <c r="B3" s="4">
        <v>0.15</v>
      </c>
      <c r="C3" s="4">
        <v>3.56</v>
      </c>
      <c r="D3" s="4">
        <v>5</v>
      </c>
      <c r="E3" s="4">
        <v>2.14</v>
      </c>
      <c r="F3" s="4">
        <v>19</v>
      </c>
    </row>
    <row r="4" spans="1:6" x14ac:dyDescent="0.2">
      <c r="A4" s="4">
        <v>2</v>
      </c>
      <c r="B4" s="4">
        <v>0.1</v>
      </c>
      <c r="C4" s="4">
        <v>6.94</v>
      </c>
      <c r="D4" s="4">
        <v>5.62</v>
      </c>
      <c r="E4" s="4">
        <v>2.0499999999999998</v>
      </c>
      <c r="F4" s="4">
        <v>33</v>
      </c>
    </row>
    <row r="5" spans="1:6" x14ac:dyDescent="0.2">
      <c r="A5" s="4">
        <v>2</v>
      </c>
      <c r="B5" s="4">
        <v>0.15</v>
      </c>
      <c r="C5" s="4">
        <v>5</v>
      </c>
      <c r="D5" s="4">
        <v>5.62</v>
      </c>
      <c r="E5" s="4">
        <v>2.2799999999999998</v>
      </c>
      <c r="F5" s="4">
        <v>31</v>
      </c>
    </row>
    <row r="6" spans="1:6" x14ac:dyDescent="0.2">
      <c r="A6" s="4">
        <v>3</v>
      </c>
      <c r="B6" s="4">
        <v>0.1</v>
      </c>
      <c r="C6" s="4">
        <v>3.5</v>
      </c>
      <c r="D6" s="4">
        <v>6.25</v>
      </c>
      <c r="E6" s="4">
        <v>2.2799999999999998</v>
      </c>
      <c r="F6" s="4">
        <v>27</v>
      </c>
    </row>
    <row r="7" spans="1:6" x14ac:dyDescent="0.2">
      <c r="A7" s="4">
        <v>3</v>
      </c>
      <c r="B7" s="4">
        <v>0.15</v>
      </c>
      <c r="C7" s="4">
        <v>6.25</v>
      </c>
      <c r="D7" s="4">
        <v>5.31</v>
      </c>
      <c r="E7" s="4">
        <v>1.93</v>
      </c>
      <c r="F7" s="4">
        <v>25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0873-E05A-9B41-BEA7-44DEA3B4AF6A}">
  <dimension ref="A1:F3"/>
  <sheetViews>
    <sheetView workbookViewId="0">
      <selection activeCell="E6" sqref="E6"/>
    </sheetView>
  </sheetViews>
  <sheetFormatPr baseColWidth="10" defaultRowHeight="16" x14ac:dyDescent="0.2"/>
  <cols>
    <col min="2" max="2" width="14.33203125" customWidth="1"/>
    <col min="4" max="4" width="13" customWidth="1"/>
  </cols>
  <sheetData>
    <row r="1" spans="1:6" ht="46" x14ac:dyDescent="0.2">
      <c r="A1" s="13" t="s">
        <v>55</v>
      </c>
      <c r="B1" s="13" t="s">
        <v>56</v>
      </c>
      <c r="C1" s="13" t="s">
        <v>50</v>
      </c>
      <c r="D1" s="13" t="s">
        <v>51</v>
      </c>
      <c r="E1" s="13" t="s">
        <v>52</v>
      </c>
      <c r="F1" s="13" t="s">
        <v>57</v>
      </c>
    </row>
    <row r="2" spans="1:6" x14ac:dyDescent="0.2">
      <c r="A2" s="4">
        <v>6</v>
      </c>
      <c r="B2" s="4">
        <v>72</v>
      </c>
      <c r="C2" s="4">
        <v>4.25</v>
      </c>
      <c r="D2" s="4">
        <v>4.5599999999999996</v>
      </c>
      <c r="E2" s="4">
        <v>1.72</v>
      </c>
      <c r="F2" s="4">
        <v>41</v>
      </c>
    </row>
    <row r="3" spans="1:6" x14ac:dyDescent="0.2">
      <c r="A3" s="4">
        <v>3</v>
      </c>
      <c r="B3" s="4">
        <v>65</v>
      </c>
      <c r="C3" s="4">
        <v>4.1900000000000004</v>
      </c>
      <c r="D3" s="4">
        <v>4.6900000000000004</v>
      </c>
      <c r="E3" s="4">
        <v>1.42</v>
      </c>
      <c r="F3" s="4">
        <v>53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C839-3724-704C-B67C-1689C5B851BB}">
  <dimension ref="A1:D6"/>
  <sheetViews>
    <sheetView workbookViewId="0">
      <selection activeCell="G5" sqref="G5"/>
    </sheetView>
  </sheetViews>
  <sheetFormatPr baseColWidth="10" defaultRowHeight="16" x14ac:dyDescent="0.2"/>
  <sheetData>
    <row r="1" spans="1:4" ht="31" x14ac:dyDescent="0.2">
      <c r="A1" s="12" t="s">
        <v>58</v>
      </c>
      <c r="B1" s="12" t="s">
        <v>59</v>
      </c>
      <c r="C1" s="12" t="s">
        <v>60</v>
      </c>
      <c r="D1" s="12" t="s">
        <v>61</v>
      </c>
    </row>
    <row r="2" spans="1:4" x14ac:dyDescent="0.2">
      <c r="A2" s="4" t="s">
        <v>62</v>
      </c>
      <c r="B2" s="4">
        <v>30</v>
      </c>
      <c r="C2" s="4">
        <v>27</v>
      </c>
      <c r="D2" s="4">
        <v>90</v>
      </c>
    </row>
    <row r="3" spans="1:4" x14ac:dyDescent="0.2">
      <c r="A3" s="4" t="s">
        <v>63</v>
      </c>
      <c r="B3" s="4">
        <v>30</v>
      </c>
      <c r="C3" s="4">
        <v>28</v>
      </c>
      <c r="D3" s="4">
        <v>93.3</v>
      </c>
    </row>
    <row r="4" spans="1:4" x14ac:dyDescent="0.2">
      <c r="A4" s="4" t="s">
        <v>64</v>
      </c>
      <c r="B4" s="4">
        <v>30</v>
      </c>
      <c r="C4" s="4">
        <v>24</v>
      </c>
      <c r="D4" s="4">
        <v>80</v>
      </c>
    </row>
    <row r="5" spans="1:4" ht="30" customHeight="1" x14ac:dyDescent="0.2">
      <c r="A5" s="4" t="s">
        <v>65</v>
      </c>
      <c r="B5" s="4">
        <v>30</v>
      </c>
      <c r="C5" s="4">
        <v>25</v>
      </c>
      <c r="D5" s="4">
        <v>83.3</v>
      </c>
    </row>
    <row r="6" spans="1:4" x14ac:dyDescent="0.2">
      <c r="A6" s="4" t="s">
        <v>66</v>
      </c>
      <c r="B6" s="4">
        <v>120</v>
      </c>
      <c r="C6" s="4">
        <v>104</v>
      </c>
      <c r="D6" s="4">
        <v>86.7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02C7-AFE7-934C-B02C-CA51F7292E1E}">
  <dimension ref="A1:E4"/>
  <sheetViews>
    <sheetView workbookViewId="0">
      <selection activeCell="D5" sqref="D5"/>
    </sheetView>
  </sheetViews>
  <sheetFormatPr baseColWidth="10" defaultRowHeight="16" x14ac:dyDescent="0.2"/>
  <sheetData>
    <row r="1" spans="1:5" ht="31" x14ac:dyDescent="0.2">
      <c r="A1" s="11" t="s">
        <v>67</v>
      </c>
      <c r="B1" s="11" t="s">
        <v>59</v>
      </c>
      <c r="C1" s="11" t="s">
        <v>68</v>
      </c>
      <c r="D1" s="11" t="s">
        <v>69</v>
      </c>
      <c r="E1" s="11" t="s">
        <v>70</v>
      </c>
    </row>
    <row r="2" spans="1:5" x14ac:dyDescent="0.2">
      <c r="A2" s="4">
        <v>0.5</v>
      </c>
      <c r="B2" s="4">
        <v>20</v>
      </c>
      <c r="C2" s="4">
        <v>18</v>
      </c>
      <c r="D2" s="4">
        <v>2</v>
      </c>
      <c r="E2" s="4">
        <v>90</v>
      </c>
    </row>
    <row r="3" spans="1:5" x14ac:dyDescent="0.2">
      <c r="A3" s="4">
        <v>0.65</v>
      </c>
      <c r="B3" s="4">
        <v>20</v>
      </c>
      <c r="C3" s="4">
        <v>20</v>
      </c>
      <c r="D3" s="4">
        <v>0</v>
      </c>
      <c r="E3" s="4">
        <v>100</v>
      </c>
    </row>
    <row r="4" spans="1:5" x14ac:dyDescent="0.2">
      <c r="A4" s="4">
        <v>0.85</v>
      </c>
      <c r="B4" s="4">
        <v>20</v>
      </c>
      <c r="C4" s="4">
        <v>20</v>
      </c>
      <c r="D4" s="4">
        <v>0</v>
      </c>
      <c r="E4" s="4">
        <v>100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3974-EDCA-A749-B485-94D652650E5A}">
  <dimension ref="A1:E4"/>
  <sheetViews>
    <sheetView workbookViewId="0">
      <selection activeCell="L34" sqref="L34"/>
    </sheetView>
  </sheetViews>
  <sheetFormatPr baseColWidth="10" defaultRowHeight="16" x14ac:dyDescent="0.2"/>
  <sheetData>
    <row r="1" spans="1:5" ht="31" x14ac:dyDescent="0.2">
      <c r="A1" s="9" t="s">
        <v>67</v>
      </c>
      <c r="B1" s="9" t="s">
        <v>59</v>
      </c>
      <c r="C1" s="9" t="s">
        <v>68</v>
      </c>
      <c r="D1" s="9" t="s">
        <v>69</v>
      </c>
      <c r="E1" s="9" t="s">
        <v>70</v>
      </c>
    </row>
    <row r="2" spans="1:5" x14ac:dyDescent="0.2">
      <c r="A2" s="4">
        <v>0.5</v>
      </c>
      <c r="B2" s="4">
        <v>20</v>
      </c>
      <c r="C2" s="4">
        <v>14</v>
      </c>
      <c r="D2" s="4">
        <f>Data_E12_Wake_WaterOn[[#This Row],[Attempts]]-Data_E12_Wake_WaterOn[[#This Row],[Detected]]</f>
        <v>6</v>
      </c>
      <c r="E2" s="4">
        <f>(Data_E12_Wake_WaterOn[[#This Row],[Detected]]/Data_E12_Wake_WaterOn[[#This Row],[Attempts]])*100</f>
        <v>70</v>
      </c>
    </row>
    <row r="3" spans="1:5" x14ac:dyDescent="0.2">
      <c r="A3" s="4">
        <v>0.65</v>
      </c>
      <c r="B3" s="4">
        <v>20</v>
      </c>
      <c r="C3" s="4">
        <v>18</v>
      </c>
      <c r="D3" s="4">
        <f>Data_E12_Wake_WaterOn[[#This Row],[Attempts]]-Data_E12_Wake_WaterOn[[#This Row],[Detected]]</f>
        <v>2</v>
      </c>
      <c r="E3" s="4">
        <f>(Data_E12_Wake_WaterOn[[#This Row],[Detected]]/Data_E12_Wake_WaterOn[[#This Row],[Attempts]])*100</f>
        <v>90</v>
      </c>
    </row>
    <row r="4" spans="1:5" x14ac:dyDescent="0.2">
      <c r="A4" s="4">
        <v>0.85</v>
      </c>
      <c r="B4" s="4">
        <v>20</v>
      </c>
      <c r="C4" s="4">
        <v>14</v>
      </c>
      <c r="D4" s="4">
        <f>Data_E12_Wake_WaterOn[[#This Row],[Attempts]]-Data_E12_Wake_WaterOn[[#This Row],[Detected]]</f>
        <v>6</v>
      </c>
      <c r="E4" s="4">
        <f>(Data_E12_Wake_WaterOn[[#This Row],[Detected]]/Data_E12_Wake_WaterOn[[#This Row],[Attempts]])*100</f>
        <v>70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8D79A-2003-8943-9085-FBEB356F046E}">
  <dimension ref="A1:D6"/>
  <sheetViews>
    <sheetView workbookViewId="0">
      <selection activeCell="M31" sqref="M31"/>
    </sheetView>
  </sheetViews>
  <sheetFormatPr baseColWidth="10" defaultRowHeight="16" x14ac:dyDescent="0.2"/>
  <sheetData>
    <row r="1" spans="1:4" x14ac:dyDescent="0.2">
      <c r="A1" s="8" t="s">
        <v>58</v>
      </c>
      <c r="B1" s="8" t="s">
        <v>71</v>
      </c>
      <c r="C1" s="8" t="s">
        <v>72</v>
      </c>
      <c r="D1" s="8" t="s">
        <v>73</v>
      </c>
    </row>
    <row r="2" spans="1:4" ht="31" x14ac:dyDescent="0.2">
      <c r="A2" s="4" t="s">
        <v>62</v>
      </c>
      <c r="B2" s="4" t="s">
        <v>74</v>
      </c>
      <c r="C2" s="4" t="s">
        <v>74</v>
      </c>
      <c r="D2" s="4" t="s">
        <v>75</v>
      </c>
    </row>
    <row r="3" spans="1:4" ht="31" x14ac:dyDescent="0.2">
      <c r="A3" s="4" t="s">
        <v>63</v>
      </c>
      <c r="B3" s="4" t="s">
        <v>76</v>
      </c>
      <c r="C3" s="4" t="s">
        <v>74</v>
      </c>
      <c r="D3" s="4" t="s">
        <v>77</v>
      </c>
    </row>
    <row r="4" spans="1:4" ht="31" x14ac:dyDescent="0.2">
      <c r="A4" s="4" t="s">
        <v>64</v>
      </c>
      <c r="B4" s="4" t="s">
        <v>74</v>
      </c>
      <c r="C4" s="4" t="s">
        <v>78</v>
      </c>
      <c r="D4" s="4" t="s">
        <v>79</v>
      </c>
    </row>
    <row r="5" spans="1:4" ht="46" x14ac:dyDescent="0.2">
      <c r="A5" s="4" t="s">
        <v>65</v>
      </c>
      <c r="B5" s="4" t="s">
        <v>74</v>
      </c>
      <c r="C5" s="4" t="s">
        <v>74</v>
      </c>
      <c r="D5" s="4" t="s">
        <v>75</v>
      </c>
    </row>
    <row r="6" spans="1:4" ht="31" x14ac:dyDescent="0.2">
      <c r="A6" s="4" t="s">
        <v>66</v>
      </c>
      <c r="B6" s="4" t="s">
        <v>80</v>
      </c>
      <c r="C6" s="4" t="s">
        <v>81</v>
      </c>
      <c r="D6" s="4" t="s">
        <v>82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1AC49-26BD-3045-8B73-35B40F5A109F}">
  <dimension ref="A1:D6"/>
  <sheetViews>
    <sheetView workbookViewId="0">
      <selection activeCell="E2" sqref="E2"/>
    </sheetView>
  </sheetViews>
  <sheetFormatPr baseColWidth="10" defaultRowHeight="16" x14ac:dyDescent="0.2"/>
  <sheetData>
    <row r="1" spans="1:4" ht="31" x14ac:dyDescent="0.2">
      <c r="A1" s="7" t="s">
        <v>58</v>
      </c>
      <c r="B1" s="7" t="s">
        <v>60</v>
      </c>
      <c r="C1" s="7" t="s">
        <v>59</v>
      </c>
      <c r="D1" s="7" t="s">
        <v>61</v>
      </c>
    </row>
    <row r="2" spans="1:4" x14ac:dyDescent="0.2">
      <c r="A2" s="4" t="s">
        <v>62</v>
      </c>
      <c r="B2" s="4">
        <v>14</v>
      </c>
      <c r="C2" s="4">
        <v>20</v>
      </c>
      <c r="D2" s="4">
        <v>70</v>
      </c>
    </row>
    <row r="3" spans="1:4" x14ac:dyDescent="0.2">
      <c r="A3" s="4" t="s">
        <v>63</v>
      </c>
      <c r="B3" s="4">
        <v>14</v>
      </c>
      <c r="C3" s="4">
        <v>20</v>
      </c>
      <c r="D3" s="4">
        <v>70</v>
      </c>
    </row>
    <row r="4" spans="1:4" x14ac:dyDescent="0.2">
      <c r="A4" s="4" t="s">
        <v>64</v>
      </c>
      <c r="B4" s="4">
        <v>8</v>
      </c>
      <c r="C4" s="4">
        <v>20</v>
      </c>
      <c r="D4" s="4">
        <v>40</v>
      </c>
    </row>
    <row r="5" spans="1:4" ht="46" x14ac:dyDescent="0.2">
      <c r="A5" s="4" t="s">
        <v>65</v>
      </c>
      <c r="B5" s="4">
        <v>16</v>
      </c>
      <c r="C5" s="4">
        <v>20</v>
      </c>
      <c r="D5" s="4">
        <v>80</v>
      </c>
    </row>
    <row r="6" spans="1:4" x14ac:dyDescent="0.2">
      <c r="A6" s="4" t="s">
        <v>66</v>
      </c>
      <c r="B6" s="4">
        <v>52</v>
      </c>
      <c r="C6" s="4">
        <v>80</v>
      </c>
      <c r="D6" s="4">
        <v>65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422C-1DAB-EF4D-82C8-261B1FEA335F}">
  <dimension ref="A1:D6"/>
  <sheetViews>
    <sheetView workbookViewId="0">
      <selection activeCell="E4" sqref="E4"/>
    </sheetView>
  </sheetViews>
  <sheetFormatPr baseColWidth="10" defaultRowHeight="16" x14ac:dyDescent="0.2"/>
  <sheetData>
    <row r="1" spans="1:4" ht="31" x14ac:dyDescent="0.2">
      <c r="A1" s="6" t="s">
        <v>58</v>
      </c>
      <c r="B1" s="6" t="s">
        <v>60</v>
      </c>
      <c r="C1" s="6" t="s">
        <v>59</v>
      </c>
      <c r="D1" s="6" t="s">
        <v>61</v>
      </c>
    </row>
    <row r="2" spans="1:4" x14ac:dyDescent="0.2">
      <c r="A2" s="2" t="s">
        <v>62</v>
      </c>
      <c r="B2" s="2">
        <v>11</v>
      </c>
      <c r="C2" s="2">
        <v>20</v>
      </c>
      <c r="D2" s="2">
        <v>55</v>
      </c>
    </row>
    <row r="3" spans="1:4" x14ac:dyDescent="0.2">
      <c r="A3" s="2" t="s">
        <v>63</v>
      </c>
      <c r="B3" s="2">
        <v>17</v>
      </c>
      <c r="C3" s="2">
        <v>20</v>
      </c>
      <c r="D3" s="2">
        <v>85</v>
      </c>
    </row>
    <row r="4" spans="1:4" ht="61" x14ac:dyDescent="0.2">
      <c r="A4" s="2" t="s">
        <v>83</v>
      </c>
      <c r="B4" s="2">
        <v>12</v>
      </c>
      <c r="C4" s="2">
        <v>20</v>
      </c>
      <c r="D4" s="2">
        <v>60</v>
      </c>
    </row>
    <row r="5" spans="1:4" ht="46" x14ac:dyDescent="0.2">
      <c r="A5" s="2" t="s">
        <v>65</v>
      </c>
      <c r="B5" s="2">
        <v>15</v>
      </c>
      <c r="C5" s="2">
        <v>20</v>
      </c>
      <c r="D5" s="2">
        <v>75</v>
      </c>
    </row>
    <row r="6" spans="1:4" x14ac:dyDescent="0.2">
      <c r="A6" s="2" t="s">
        <v>66</v>
      </c>
      <c r="B6" s="2">
        <v>55</v>
      </c>
      <c r="C6" s="2">
        <v>80</v>
      </c>
      <c r="D6" s="2">
        <v>68.8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D2F9-0EDF-EA40-902F-93EC6722420A}">
  <dimension ref="A1:E4"/>
  <sheetViews>
    <sheetView tabSelected="1" workbookViewId="0">
      <selection activeCell="F4" sqref="F4"/>
    </sheetView>
  </sheetViews>
  <sheetFormatPr baseColWidth="10" defaultRowHeight="16" x14ac:dyDescent="0.2"/>
  <sheetData>
    <row r="1" spans="1:5" ht="31" x14ac:dyDescent="0.2">
      <c r="A1" s="5" t="s">
        <v>84</v>
      </c>
      <c r="B1" s="5" t="s">
        <v>85</v>
      </c>
      <c r="C1" s="5" t="s">
        <v>86</v>
      </c>
      <c r="D1" s="5" t="s">
        <v>87</v>
      </c>
      <c r="E1" s="5" t="s">
        <v>88</v>
      </c>
    </row>
    <row r="2" spans="1:5" x14ac:dyDescent="0.2">
      <c r="A2" s="4" t="s">
        <v>89</v>
      </c>
      <c r="B2" s="4">
        <v>4.5439999999999996</v>
      </c>
      <c r="C2" s="4">
        <v>4.55</v>
      </c>
      <c r="D2" s="4">
        <v>4.5780000000000003</v>
      </c>
      <c r="E2" s="4">
        <v>4.5570000000000004</v>
      </c>
    </row>
    <row r="3" spans="1:5" x14ac:dyDescent="0.2">
      <c r="A3" s="4" t="s">
        <v>90</v>
      </c>
      <c r="B3" s="4">
        <v>5.18</v>
      </c>
      <c r="C3" s="4">
        <v>5.2</v>
      </c>
      <c r="D3" s="4">
        <v>5.16</v>
      </c>
      <c r="E3" s="4">
        <v>5.18</v>
      </c>
    </row>
    <row r="4" spans="1:5" ht="46" x14ac:dyDescent="0.2">
      <c r="A4" s="4" t="s">
        <v>91</v>
      </c>
      <c r="B4" s="4">
        <v>4.78</v>
      </c>
      <c r="C4" s="4">
        <v>4.8239999999999998</v>
      </c>
      <c r="D4" s="4">
        <v>4.7750000000000004</v>
      </c>
      <c r="E4" s="4">
        <v>4.7930000000000001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Index</vt:lpstr>
      <vt:lpstr>E01_Baseline_Home1</vt:lpstr>
      <vt:lpstr>E02_Baseline_Home2</vt:lpstr>
      <vt:lpstr>E03_Baseline_Home3</vt:lpstr>
      <vt:lpstr>E04_Warm_Mixed</vt:lpstr>
      <vt:lpstr>E05_Startup_Original</vt:lpstr>
      <vt:lpstr>E06_Startup_Final</vt:lpstr>
      <vt:lpstr>E07_Ki_Tuning</vt:lpstr>
      <vt:lpstr>E08_Kp_Tuning</vt:lpstr>
      <vt:lpstr>E09_TPO_Recheck</vt:lpstr>
      <vt:lpstr>E10_Voice_Indoor</vt:lpstr>
      <vt:lpstr>E11_Wake_WaterOff</vt:lpstr>
      <vt:lpstr>E12_Wake_WaterOn</vt:lpstr>
      <vt:lpstr>E13_Vosk_WaterOff</vt:lpstr>
      <vt:lpstr>E14_Vosk_Off_WaterOn</vt:lpstr>
      <vt:lpstr>E15_Vosk_Stop_WaterOn</vt:lpstr>
      <vt:lpstr>E16_Direct_Flow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Haasbroek</dc:creator>
  <cp:lastModifiedBy>Ruben Haasbroek</cp:lastModifiedBy>
  <dcterms:created xsi:type="dcterms:W3CDTF">2026-10-13T14:56:50Z</dcterms:created>
  <dcterms:modified xsi:type="dcterms:W3CDTF">2026-10-13T16:39:00Z</dcterms:modified>
</cp:coreProperties>
</file>